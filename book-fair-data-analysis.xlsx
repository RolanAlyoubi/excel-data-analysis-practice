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kauksa-my.sharepoint.com/personal/2306652_stu_kau_edu_sa/Documents/"/>
    </mc:Choice>
  </mc:AlternateContent>
  <xr:revisionPtr revIDLastSave="0" documentId="8_{6D88483C-D712-6D49-A3B1-FEA4DD0A946F}" xr6:coauthVersionLast="47" xr6:coauthVersionMax="47" xr10:uidLastSave="{00000000-0000-0000-0000-000000000000}"/>
  <bookViews>
    <workbookView xWindow="0" yWindow="880" windowWidth="34200" windowHeight="20120" activeTab="2" xr2:uid="{BE18B2FD-F646-9E4C-AF38-F71B55BA76E8}"/>
  </bookViews>
  <sheets>
    <sheet name="Raw Data" sheetId="1" r:id="rId1"/>
    <sheet name="Pivot Tables" sheetId="3" r:id="rId2"/>
    <sheet name="Summary" sheetId="2" r:id="rId3"/>
  </sheets>
  <definedNames>
    <definedName name="Slicer_التصنيف">#N/A</definedName>
    <definedName name="Slicer_المدينة">#N/A</definedName>
    <definedName name="Slicer_دار_النشر">#N/A</definedName>
  </definedNames>
  <calcPr calcId="191029"/>
  <pivotCaches>
    <pivotCache cacheId="6"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 i="2" l="1"/>
  <c r="E5" i="2"/>
  <c r="B5" i="2"/>
  <c r="L6" i="1"/>
  <c r="K14" i="1"/>
  <c r="L7" i="1"/>
  <c r="I2" i="1"/>
  <c r="I3" i="1"/>
  <c r="I4" i="1"/>
  <c r="I5" i="1"/>
  <c r="I6" i="1"/>
  <c r="I7" i="1"/>
  <c r="I8" i="1"/>
  <c r="I9" i="1"/>
  <c r="I10" i="1"/>
  <c r="I11" i="1"/>
  <c r="I12" i="1"/>
  <c r="I13" i="1"/>
  <c r="I14" i="1"/>
  <c r="I15" i="1"/>
  <c r="I16" i="1"/>
  <c r="I17" i="1"/>
  <c r="I18" i="1"/>
  <c r="I19" i="1"/>
  <c r="I20" i="1"/>
  <c r="I21" i="1"/>
  <c r="I22" i="1"/>
</calcChain>
</file>

<file path=xl/sharedStrings.xml><?xml version="1.0" encoding="utf-8"?>
<sst xmlns="http://schemas.openxmlformats.org/spreadsheetml/2006/main" count="132" uniqueCount="34">
  <si>
    <t xml:space="preserve">التاريخ </t>
  </si>
  <si>
    <t xml:space="preserve">الجناح </t>
  </si>
  <si>
    <t xml:space="preserve">دار النشر </t>
  </si>
  <si>
    <t xml:space="preserve">التصنيف </t>
  </si>
  <si>
    <t>عدد الكتب المباعة</t>
  </si>
  <si>
    <t xml:space="preserve">الإيرادات </t>
  </si>
  <si>
    <t xml:space="preserve">عدد الزوار </t>
  </si>
  <si>
    <t xml:space="preserve">المدينة </t>
  </si>
  <si>
    <t>A1</t>
  </si>
  <si>
    <t>A2</t>
  </si>
  <si>
    <t>A3</t>
  </si>
  <si>
    <t>المعرفة</t>
  </si>
  <si>
    <t>الفكر</t>
  </si>
  <si>
    <t>الإبداع</t>
  </si>
  <si>
    <t xml:space="preserve">أدب </t>
  </si>
  <si>
    <t xml:space="preserve">تاريخ </t>
  </si>
  <si>
    <t>أطفال</t>
  </si>
  <si>
    <t xml:space="preserve"> </t>
  </si>
  <si>
    <t xml:space="preserve">الرياض </t>
  </si>
  <si>
    <t xml:space="preserve">جدة </t>
  </si>
  <si>
    <t xml:space="preserve">الدمام </t>
  </si>
  <si>
    <t xml:space="preserve">تصنيف الجناح </t>
  </si>
  <si>
    <t xml:space="preserve">عدد الأيام التي تجاوزت فيها عدد المبيعات 150 كتابًا في تصنيف الأطفال </t>
  </si>
  <si>
    <t>إجمالي الإيرادات لتصنيف الأدب فقط</t>
  </si>
  <si>
    <t>إظهار المدينة عند اختيار اسم دار النشر</t>
  </si>
  <si>
    <t xml:space="preserve">Sum of الإيرادات </t>
  </si>
  <si>
    <t>Row Labels</t>
  </si>
  <si>
    <t>Grand Total</t>
  </si>
  <si>
    <t>Sum of عدد الكتب المباعة</t>
  </si>
  <si>
    <t xml:space="preserve">Sum of عدد الزوار </t>
  </si>
  <si>
    <t>إجمالي الإيرادات</t>
  </si>
  <si>
    <t>إجمالي الكتب المباعة</t>
  </si>
  <si>
    <t>إجمالي الزوار</t>
  </si>
  <si>
    <t xml:space="preserve">عدد دور النشر المشاركة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</si>
</sst>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5">
    <fill>
      <patternFill patternType="none"/>
    </fill>
    <fill>
      <patternFill patternType="gray125"/>
    </fill>
    <fill>
      <patternFill patternType="solid">
        <fgColor theme="5" tint="0.79998168889431442"/>
        <bgColor theme="5" tint="0.79998168889431442"/>
      </patternFill>
    </fill>
    <fill>
      <patternFill patternType="solid">
        <fgColor theme="3" tint="0.749992370372631"/>
        <bgColor indexed="64"/>
      </patternFill>
    </fill>
    <fill>
      <patternFill patternType="solid">
        <fgColor theme="3" tint="0.89999084444715716"/>
        <bgColor indexed="64"/>
      </patternFill>
    </fill>
  </fills>
  <borders count="2">
    <border>
      <left/>
      <right/>
      <top/>
      <bottom/>
      <diagonal/>
    </border>
    <border>
      <left style="thin">
        <color theme="5"/>
      </left>
      <right style="thin">
        <color theme="5"/>
      </right>
      <top style="thin">
        <color theme="5"/>
      </top>
      <bottom style="thin">
        <color theme="5"/>
      </bottom>
      <diagonal/>
    </border>
  </borders>
  <cellStyleXfs count="1">
    <xf numFmtId="0" fontId="0" fillId="0" borderId="0"/>
  </cellStyleXfs>
  <cellXfs count="12">
    <xf numFmtId="0" fontId="0" fillId="0" borderId="0" xfId="0"/>
    <xf numFmtId="16" fontId="0" fillId="0" borderId="0" xfId="0" applyNumberFormat="1"/>
    <xf numFmtId="0" fontId="0" fillId="0" borderId="0" xfId="0" applyAlignment="1">
      <alignment horizontal="center"/>
    </xf>
    <xf numFmtId="16" fontId="0" fillId="0" borderId="0" xfId="0" applyNumberFormat="1" applyAlignment="1">
      <alignment horizontal="center"/>
    </xf>
    <xf numFmtId="0" fontId="0" fillId="2" borderId="1" xfId="0" applyFill="1" applyBorder="1"/>
    <xf numFmtId="0" fontId="0" fillId="0" borderId="0" xfId="0" pivotButton="1"/>
    <xf numFmtId="0" fontId="0" fillId="0" borderId="0" xfId="0" applyAlignment="1">
      <alignment horizontal="left"/>
    </xf>
    <xf numFmtId="16" fontId="0" fillId="0" borderId="0" xfId="0" applyNumberFormat="1" applyAlignment="1">
      <alignment horizontal="left"/>
    </xf>
    <xf numFmtId="0" fontId="0" fillId="3" borderId="0" xfId="0" applyFill="1" applyAlignment="1">
      <alignment horizontal="center"/>
    </xf>
    <xf numFmtId="0" fontId="0" fillId="4" borderId="0" xfId="0" applyFill="1" applyAlignment="1">
      <alignment horizontal="center"/>
    </xf>
    <xf numFmtId="0" fontId="0" fillId="0" borderId="0" xfId="0" applyAlignment="1">
      <alignment horizontal="right"/>
    </xf>
    <xf numFmtId="16" fontId="0" fillId="0" borderId="0" xfId="0" applyNumberFormat="1" applyAlignment="1">
      <alignment horizontal="right"/>
    </xf>
  </cellXfs>
  <cellStyles count="1">
    <cellStyle name="Normal" xfId="0" builtinId="0"/>
  </cellStyles>
  <dxfs count="16">
    <dxf>
      <font>
        <b val="0"/>
        <i val="0"/>
        <strike val="0"/>
        <condense val="0"/>
        <extend val="0"/>
        <outline val="0"/>
        <shadow val="0"/>
        <u val="none"/>
        <vertAlign val="baseline"/>
        <sz val="12"/>
        <color theme="1"/>
        <name val="Aptos Narrow"/>
        <family val="2"/>
        <scheme val="minor"/>
      </font>
      <fill>
        <patternFill patternType="solid">
          <fgColor theme="5" tint="0.79998168889431442"/>
          <bgColor theme="5" tint="0.79998168889431442"/>
        </patternFill>
      </fill>
      <border diagonalUp="0" diagonalDown="0" outline="0">
        <left style="thin">
          <color theme="5"/>
        </left>
        <right style="thin">
          <color theme="5"/>
        </right>
        <top/>
        <bottom style="thin">
          <color theme="5"/>
        </bottom>
      </border>
    </dxf>
    <dxf>
      <border outline="0">
        <top style="thin">
          <color theme="5"/>
        </top>
      </border>
    </dxf>
    <dxf>
      <border outline="0">
        <bottom style="thin">
          <color theme="5"/>
        </bottom>
      </border>
    </dxf>
    <dxf>
      <font>
        <b val="0"/>
        <i val="0"/>
        <strike val="0"/>
        <condense val="0"/>
        <extend val="0"/>
        <outline val="0"/>
        <shadow val="0"/>
        <u val="none"/>
        <vertAlign val="baseline"/>
        <sz val="12"/>
        <color theme="1"/>
        <name val="Aptos Narrow"/>
        <family val="2"/>
        <scheme val="minor"/>
      </font>
      <fill>
        <patternFill patternType="solid">
          <fgColor theme="5" tint="0.79998168889431442"/>
          <bgColor theme="5" tint="0.79998168889431442"/>
        </patternFill>
      </fil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1" formatCode="dd\-m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المبيعات حسب التصنيف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Tables'!$E$4:$E$7</c:f>
              <c:strCache>
                <c:ptCount val="3"/>
                <c:pt idx="0">
                  <c:v>أدب </c:v>
                </c:pt>
                <c:pt idx="1">
                  <c:v>أطفال</c:v>
                </c:pt>
                <c:pt idx="2">
                  <c:v>تاريخ </c:v>
                </c:pt>
              </c:strCache>
            </c:strRef>
          </c:cat>
          <c:val>
            <c:numRef>
              <c:f>'Pivot Tables'!$F$4:$F$7</c:f>
              <c:numCache>
                <c:formatCode>General</c:formatCode>
                <c:ptCount val="3"/>
                <c:pt idx="0">
                  <c:v>1100</c:v>
                </c:pt>
                <c:pt idx="1">
                  <c:v>1370</c:v>
                </c:pt>
                <c:pt idx="2">
                  <c:v>790</c:v>
                </c:pt>
              </c:numCache>
            </c:numRef>
          </c:val>
          <c:extLst>
            <c:ext xmlns:c16="http://schemas.microsoft.com/office/drawing/2014/chart" uri="{C3380CC4-5D6E-409C-BE32-E72D297353CC}">
              <c16:uniqueId val="{00000000-99D8-5E4E-8C5B-4701C6A22428}"/>
            </c:ext>
          </c:extLst>
        </c:ser>
        <c:dLbls>
          <c:showLegendKey val="0"/>
          <c:showVal val="0"/>
          <c:showCatName val="0"/>
          <c:showSerName val="0"/>
          <c:showPercent val="0"/>
          <c:showBubbleSize val="0"/>
        </c:dLbls>
        <c:gapWidth val="219"/>
        <c:overlap val="-27"/>
        <c:axId val="1339350335"/>
        <c:axId val="807426927"/>
      </c:barChart>
      <c:catAx>
        <c:axId val="13393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807426927"/>
        <c:crosses val="autoZero"/>
        <c:auto val="1"/>
        <c:lblAlgn val="ctr"/>
        <c:lblOffset val="100"/>
        <c:noMultiLvlLbl val="0"/>
      </c:catAx>
      <c:valAx>
        <c:axId val="80742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3935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الإيرادات حسب دار النشر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الإبداع</c:v>
                </c:pt>
                <c:pt idx="1">
                  <c:v>الفكر</c:v>
                </c:pt>
                <c:pt idx="2">
                  <c:v>المعرفة</c:v>
                </c:pt>
              </c:strCache>
            </c:strRef>
          </c:cat>
          <c:val>
            <c:numRef>
              <c:f>'Pivot Tables'!$B$4:$B$7</c:f>
              <c:numCache>
                <c:formatCode>General</c:formatCode>
                <c:ptCount val="3"/>
                <c:pt idx="0">
                  <c:v>41100</c:v>
                </c:pt>
                <c:pt idx="1">
                  <c:v>23700</c:v>
                </c:pt>
                <c:pt idx="2">
                  <c:v>33000</c:v>
                </c:pt>
              </c:numCache>
            </c:numRef>
          </c:val>
          <c:extLst>
            <c:ext xmlns:c16="http://schemas.microsoft.com/office/drawing/2014/chart" uri="{C3380CC4-5D6E-409C-BE32-E72D297353CC}">
              <c16:uniqueId val="{00000002-3346-D848-8FFA-1D2F94602B41}"/>
            </c:ext>
          </c:extLst>
        </c:ser>
        <c:dLbls>
          <c:showLegendKey val="0"/>
          <c:showVal val="0"/>
          <c:showCatName val="0"/>
          <c:showSerName val="0"/>
          <c:showPercent val="0"/>
          <c:showBubbleSize val="0"/>
        </c:dLbls>
        <c:gapWidth val="219"/>
        <c:overlap val="-27"/>
        <c:axId val="2122663375"/>
        <c:axId val="353518015"/>
      </c:barChart>
      <c:catAx>
        <c:axId val="21226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53518015"/>
        <c:crosses val="autoZero"/>
        <c:auto val="1"/>
        <c:lblAlgn val="ctr"/>
        <c:lblOffset val="100"/>
        <c:noMultiLvlLbl val="0"/>
      </c:catAx>
      <c:valAx>
        <c:axId val="35351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1226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مقارنة الأجنحة بعدد الكتب المباعة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Tables'!$L$4:$L$7</c:f>
              <c:strCache>
                <c:ptCount val="3"/>
                <c:pt idx="0">
                  <c:v>A1</c:v>
                </c:pt>
                <c:pt idx="1">
                  <c:v>A2</c:v>
                </c:pt>
                <c:pt idx="2">
                  <c:v>A3</c:v>
                </c:pt>
              </c:strCache>
            </c:strRef>
          </c:cat>
          <c:val>
            <c:numRef>
              <c:f>'Pivot Tables'!$M$4:$M$7</c:f>
              <c:numCache>
                <c:formatCode>General</c:formatCode>
                <c:ptCount val="3"/>
                <c:pt idx="0">
                  <c:v>1100</c:v>
                </c:pt>
                <c:pt idx="1">
                  <c:v>790</c:v>
                </c:pt>
                <c:pt idx="2">
                  <c:v>1370</c:v>
                </c:pt>
              </c:numCache>
            </c:numRef>
          </c:val>
          <c:extLst>
            <c:ext xmlns:c16="http://schemas.microsoft.com/office/drawing/2014/chart" uri="{C3380CC4-5D6E-409C-BE32-E72D297353CC}">
              <c16:uniqueId val="{00000000-6666-3B4B-B831-B64D078E8022}"/>
            </c:ext>
          </c:extLst>
        </c:ser>
        <c:dLbls>
          <c:showLegendKey val="0"/>
          <c:showVal val="0"/>
          <c:showCatName val="0"/>
          <c:showSerName val="0"/>
          <c:showPercent val="0"/>
          <c:showBubbleSize val="0"/>
        </c:dLbls>
        <c:gapWidth val="150"/>
        <c:overlap val="100"/>
        <c:axId val="361683663"/>
        <c:axId val="527846000"/>
      </c:barChart>
      <c:catAx>
        <c:axId val="36168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527846000"/>
        <c:crosses val="autoZero"/>
        <c:auto val="1"/>
        <c:lblAlgn val="ctr"/>
        <c:lblOffset val="100"/>
        <c:noMultiLvlLbl val="0"/>
      </c:catAx>
      <c:valAx>
        <c:axId val="52784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616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تطور الزوار خلال المعرض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Tables'!$P$4</c:f>
              <c:strCache>
                <c:ptCount val="1"/>
                <c:pt idx="0">
                  <c:v>Total</c:v>
                </c:pt>
              </c:strCache>
            </c:strRef>
          </c:tx>
          <c:spPr>
            <a:solidFill>
              <a:schemeClr val="accent1"/>
            </a:solidFill>
            <a:ln>
              <a:noFill/>
            </a:ln>
            <a:effectLst/>
          </c:spPr>
          <c:invertIfNegative val="0"/>
          <c:cat>
            <c:strRef>
              <c:f>'Pivot Tables'!$O$5:$O$12</c:f>
              <c:strCache>
                <c:ptCount val="7"/>
                <c:pt idx="0">
                  <c:v>01-Jan</c:v>
                </c:pt>
                <c:pt idx="1">
                  <c:v>02-Jan</c:v>
                </c:pt>
                <c:pt idx="2">
                  <c:v>03-Jan</c:v>
                </c:pt>
                <c:pt idx="3">
                  <c:v>04-Jan</c:v>
                </c:pt>
                <c:pt idx="4">
                  <c:v>05-Jan</c:v>
                </c:pt>
                <c:pt idx="5">
                  <c:v>06-Jan</c:v>
                </c:pt>
                <c:pt idx="6">
                  <c:v>07-Jan</c:v>
                </c:pt>
              </c:strCache>
            </c:strRef>
          </c:cat>
          <c:val>
            <c:numRef>
              <c:f>'Pivot Tables'!$P$5:$P$12</c:f>
              <c:numCache>
                <c:formatCode>General</c:formatCode>
                <c:ptCount val="7"/>
                <c:pt idx="0">
                  <c:v>1270</c:v>
                </c:pt>
                <c:pt idx="1">
                  <c:v>1380</c:v>
                </c:pt>
                <c:pt idx="2">
                  <c:v>1520</c:v>
                </c:pt>
                <c:pt idx="3">
                  <c:v>1470</c:v>
                </c:pt>
                <c:pt idx="4">
                  <c:v>1640</c:v>
                </c:pt>
                <c:pt idx="5">
                  <c:v>1760</c:v>
                </c:pt>
                <c:pt idx="6">
                  <c:v>1900</c:v>
                </c:pt>
              </c:numCache>
            </c:numRef>
          </c:val>
          <c:extLst>
            <c:ext xmlns:c16="http://schemas.microsoft.com/office/drawing/2014/chart" uri="{C3380CC4-5D6E-409C-BE32-E72D297353CC}">
              <c16:uniqueId val="{00000000-53BD-2348-A2D4-E1A796AC53A9}"/>
            </c:ext>
          </c:extLst>
        </c:ser>
        <c:dLbls>
          <c:showLegendKey val="0"/>
          <c:showVal val="0"/>
          <c:showCatName val="0"/>
          <c:showSerName val="0"/>
          <c:showPercent val="0"/>
          <c:showBubbleSize val="0"/>
        </c:dLbls>
        <c:gapWidth val="182"/>
        <c:axId val="324948416"/>
        <c:axId val="324710048"/>
      </c:barChart>
      <c:catAx>
        <c:axId val="32494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24710048"/>
        <c:crosses val="autoZero"/>
        <c:auto val="1"/>
        <c:lblAlgn val="ctr"/>
        <c:lblOffset val="100"/>
        <c:noMultiLvlLbl val="0"/>
      </c:catAx>
      <c:valAx>
        <c:axId val="32471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249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المبيعات حسب التصنيف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Tables'!$E$4:$E$7</c:f>
              <c:strCache>
                <c:ptCount val="3"/>
                <c:pt idx="0">
                  <c:v>أدب </c:v>
                </c:pt>
                <c:pt idx="1">
                  <c:v>أطفال</c:v>
                </c:pt>
                <c:pt idx="2">
                  <c:v>تاريخ </c:v>
                </c:pt>
              </c:strCache>
            </c:strRef>
          </c:cat>
          <c:val>
            <c:numRef>
              <c:f>'Pivot Tables'!$F$4:$F$7</c:f>
              <c:numCache>
                <c:formatCode>General</c:formatCode>
                <c:ptCount val="3"/>
                <c:pt idx="0">
                  <c:v>1100</c:v>
                </c:pt>
                <c:pt idx="1">
                  <c:v>1370</c:v>
                </c:pt>
                <c:pt idx="2">
                  <c:v>790</c:v>
                </c:pt>
              </c:numCache>
            </c:numRef>
          </c:val>
          <c:extLst>
            <c:ext xmlns:c16="http://schemas.microsoft.com/office/drawing/2014/chart" uri="{C3380CC4-5D6E-409C-BE32-E72D297353CC}">
              <c16:uniqueId val="{00000000-DDAC-6D4F-82FA-783892E6E695}"/>
            </c:ext>
          </c:extLst>
        </c:ser>
        <c:dLbls>
          <c:showLegendKey val="0"/>
          <c:showVal val="0"/>
          <c:showCatName val="0"/>
          <c:showSerName val="0"/>
          <c:showPercent val="0"/>
          <c:showBubbleSize val="0"/>
        </c:dLbls>
        <c:gapWidth val="219"/>
        <c:overlap val="-27"/>
        <c:axId val="1339350335"/>
        <c:axId val="807426927"/>
      </c:barChart>
      <c:catAx>
        <c:axId val="13393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807426927"/>
        <c:crosses val="autoZero"/>
        <c:auto val="1"/>
        <c:lblAlgn val="ctr"/>
        <c:lblOffset val="100"/>
        <c:noMultiLvlLbl val="0"/>
      </c:catAx>
      <c:valAx>
        <c:axId val="80742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3935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الإيرادات حسب دار النشر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الإبداع</c:v>
                </c:pt>
                <c:pt idx="1">
                  <c:v>الفكر</c:v>
                </c:pt>
                <c:pt idx="2">
                  <c:v>المعرفة</c:v>
                </c:pt>
              </c:strCache>
            </c:strRef>
          </c:cat>
          <c:val>
            <c:numRef>
              <c:f>'Pivot Tables'!$B$4:$B$7</c:f>
              <c:numCache>
                <c:formatCode>General</c:formatCode>
                <c:ptCount val="3"/>
                <c:pt idx="0">
                  <c:v>41100</c:v>
                </c:pt>
                <c:pt idx="1">
                  <c:v>23700</c:v>
                </c:pt>
                <c:pt idx="2">
                  <c:v>33000</c:v>
                </c:pt>
              </c:numCache>
            </c:numRef>
          </c:val>
          <c:extLst>
            <c:ext xmlns:c16="http://schemas.microsoft.com/office/drawing/2014/chart" uri="{C3380CC4-5D6E-409C-BE32-E72D297353CC}">
              <c16:uniqueId val="{00000001-F6CD-DB47-BCA9-0C219ABE263A}"/>
            </c:ext>
          </c:extLst>
        </c:ser>
        <c:dLbls>
          <c:showLegendKey val="0"/>
          <c:showVal val="0"/>
          <c:showCatName val="0"/>
          <c:showSerName val="0"/>
          <c:showPercent val="0"/>
          <c:showBubbleSize val="0"/>
        </c:dLbls>
        <c:gapWidth val="219"/>
        <c:overlap val="-27"/>
        <c:axId val="2122663375"/>
        <c:axId val="353518015"/>
      </c:barChart>
      <c:catAx>
        <c:axId val="21226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53518015"/>
        <c:crosses val="autoZero"/>
        <c:auto val="1"/>
        <c:lblAlgn val="ctr"/>
        <c:lblOffset val="100"/>
        <c:noMultiLvlLbl val="0"/>
      </c:catAx>
      <c:valAx>
        <c:axId val="35351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1226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تطور الزوار خلال المعرض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Tables'!$P$4</c:f>
              <c:strCache>
                <c:ptCount val="1"/>
                <c:pt idx="0">
                  <c:v>Total</c:v>
                </c:pt>
              </c:strCache>
            </c:strRef>
          </c:tx>
          <c:spPr>
            <a:solidFill>
              <a:schemeClr val="accent1"/>
            </a:solidFill>
            <a:ln>
              <a:noFill/>
            </a:ln>
            <a:effectLst/>
          </c:spPr>
          <c:invertIfNegative val="0"/>
          <c:cat>
            <c:strRef>
              <c:f>'Pivot Tables'!$O$5:$O$12</c:f>
              <c:strCache>
                <c:ptCount val="7"/>
                <c:pt idx="0">
                  <c:v>01-Jan</c:v>
                </c:pt>
                <c:pt idx="1">
                  <c:v>02-Jan</c:v>
                </c:pt>
                <c:pt idx="2">
                  <c:v>03-Jan</c:v>
                </c:pt>
                <c:pt idx="3">
                  <c:v>04-Jan</c:v>
                </c:pt>
                <c:pt idx="4">
                  <c:v>05-Jan</c:v>
                </c:pt>
                <c:pt idx="5">
                  <c:v>06-Jan</c:v>
                </c:pt>
                <c:pt idx="6">
                  <c:v>07-Jan</c:v>
                </c:pt>
              </c:strCache>
            </c:strRef>
          </c:cat>
          <c:val>
            <c:numRef>
              <c:f>'Pivot Tables'!$P$5:$P$12</c:f>
              <c:numCache>
                <c:formatCode>General</c:formatCode>
                <c:ptCount val="7"/>
                <c:pt idx="0">
                  <c:v>1270</c:v>
                </c:pt>
                <c:pt idx="1">
                  <c:v>1380</c:v>
                </c:pt>
                <c:pt idx="2">
                  <c:v>1520</c:v>
                </c:pt>
                <c:pt idx="3">
                  <c:v>1470</c:v>
                </c:pt>
                <c:pt idx="4">
                  <c:v>1640</c:v>
                </c:pt>
                <c:pt idx="5">
                  <c:v>1760</c:v>
                </c:pt>
                <c:pt idx="6">
                  <c:v>1900</c:v>
                </c:pt>
              </c:numCache>
            </c:numRef>
          </c:val>
          <c:extLst>
            <c:ext xmlns:c16="http://schemas.microsoft.com/office/drawing/2014/chart" uri="{C3380CC4-5D6E-409C-BE32-E72D297353CC}">
              <c16:uniqueId val="{00000000-B373-4645-ADEE-C02D4415E61E}"/>
            </c:ext>
          </c:extLst>
        </c:ser>
        <c:dLbls>
          <c:showLegendKey val="0"/>
          <c:showVal val="0"/>
          <c:showCatName val="0"/>
          <c:showSerName val="0"/>
          <c:showPercent val="0"/>
          <c:showBubbleSize val="0"/>
        </c:dLbls>
        <c:gapWidth val="182"/>
        <c:axId val="324948416"/>
        <c:axId val="324710048"/>
      </c:barChart>
      <c:catAx>
        <c:axId val="32494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24710048"/>
        <c:crosses val="autoZero"/>
        <c:auto val="1"/>
        <c:lblAlgn val="ctr"/>
        <c:lblOffset val="100"/>
        <c:noMultiLvlLbl val="0"/>
      </c:catAx>
      <c:valAx>
        <c:axId val="32471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249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لمعرض الكتاب.xlsx]Pivot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مقارنة الأجنحة بعدد الكتب المباعة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Tables'!$L$4:$L$7</c:f>
              <c:strCache>
                <c:ptCount val="3"/>
                <c:pt idx="0">
                  <c:v>A1</c:v>
                </c:pt>
                <c:pt idx="1">
                  <c:v>A2</c:v>
                </c:pt>
                <c:pt idx="2">
                  <c:v>A3</c:v>
                </c:pt>
              </c:strCache>
            </c:strRef>
          </c:cat>
          <c:val>
            <c:numRef>
              <c:f>'Pivot Tables'!$M$4:$M$7</c:f>
              <c:numCache>
                <c:formatCode>General</c:formatCode>
                <c:ptCount val="3"/>
                <c:pt idx="0">
                  <c:v>1100</c:v>
                </c:pt>
                <c:pt idx="1">
                  <c:v>790</c:v>
                </c:pt>
                <c:pt idx="2">
                  <c:v>1370</c:v>
                </c:pt>
              </c:numCache>
            </c:numRef>
          </c:val>
          <c:extLst>
            <c:ext xmlns:c16="http://schemas.microsoft.com/office/drawing/2014/chart" uri="{C3380CC4-5D6E-409C-BE32-E72D297353CC}">
              <c16:uniqueId val="{00000000-BA8A-AD4A-95DA-286108B1DC92}"/>
            </c:ext>
          </c:extLst>
        </c:ser>
        <c:dLbls>
          <c:showLegendKey val="0"/>
          <c:showVal val="0"/>
          <c:showCatName val="0"/>
          <c:showSerName val="0"/>
          <c:showPercent val="0"/>
          <c:showBubbleSize val="0"/>
        </c:dLbls>
        <c:gapWidth val="150"/>
        <c:overlap val="100"/>
        <c:axId val="361683663"/>
        <c:axId val="527846000"/>
      </c:barChart>
      <c:catAx>
        <c:axId val="36168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527846000"/>
        <c:crosses val="autoZero"/>
        <c:auto val="1"/>
        <c:lblAlgn val="ctr"/>
        <c:lblOffset val="100"/>
        <c:noMultiLvlLbl val="0"/>
      </c:catAx>
      <c:valAx>
        <c:axId val="52784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616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520700</xdr:colOff>
      <xdr:row>14</xdr:row>
      <xdr:rowOff>165100</xdr:rowOff>
    </xdr:from>
    <xdr:to>
      <xdr:col>8</xdr:col>
      <xdr:colOff>241300</xdr:colOff>
      <xdr:row>26</xdr:row>
      <xdr:rowOff>25400</xdr:rowOff>
    </xdr:to>
    <xdr:graphicFrame macro="">
      <xdr:nvGraphicFramePr>
        <xdr:cNvPr id="2" name="Chart 1">
          <a:extLst>
            <a:ext uri="{FF2B5EF4-FFF2-40B4-BE49-F238E27FC236}">
              <a16:creationId xmlns:a16="http://schemas.microsoft.com/office/drawing/2014/main" id="{2B55FE4B-0DB6-3BA0-E049-A49AEA3D8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165100</xdr:rowOff>
    </xdr:from>
    <xdr:to>
      <xdr:col>4</xdr:col>
      <xdr:colOff>317500</xdr:colOff>
      <xdr:row>25</xdr:row>
      <xdr:rowOff>190500</xdr:rowOff>
    </xdr:to>
    <xdr:graphicFrame macro="">
      <xdr:nvGraphicFramePr>
        <xdr:cNvPr id="3" name="Chart 2">
          <a:extLst>
            <a:ext uri="{FF2B5EF4-FFF2-40B4-BE49-F238E27FC236}">
              <a16:creationId xmlns:a16="http://schemas.microsoft.com/office/drawing/2014/main" id="{52BE8256-D9C1-D040-8F4D-4700F06A8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355600</xdr:colOff>
      <xdr:row>14</xdr:row>
      <xdr:rowOff>165100</xdr:rowOff>
    </xdr:from>
    <xdr:to>
      <xdr:col>12</xdr:col>
      <xdr:colOff>647700</xdr:colOff>
      <xdr:row>26</xdr:row>
      <xdr:rowOff>38100</xdr:rowOff>
    </xdr:to>
    <xdr:graphicFrame macro="">
      <xdr:nvGraphicFramePr>
        <xdr:cNvPr id="6" name="Chart 5">
          <a:extLst>
            <a:ext uri="{FF2B5EF4-FFF2-40B4-BE49-F238E27FC236}">
              <a16:creationId xmlns:a16="http://schemas.microsoft.com/office/drawing/2014/main" id="{72A48ADD-9C88-1114-7957-A50CBBEE6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825500</xdr:colOff>
      <xdr:row>14</xdr:row>
      <xdr:rowOff>165100</xdr:rowOff>
    </xdr:from>
    <xdr:to>
      <xdr:col>16</xdr:col>
      <xdr:colOff>25400</xdr:colOff>
      <xdr:row>26</xdr:row>
      <xdr:rowOff>25400</xdr:rowOff>
    </xdr:to>
    <xdr:graphicFrame macro="">
      <xdr:nvGraphicFramePr>
        <xdr:cNvPr id="7" name="Chart 6">
          <a:extLst>
            <a:ext uri="{FF2B5EF4-FFF2-40B4-BE49-F238E27FC236}">
              <a16:creationId xmlns:a16="http://schemas.microsoft.com/office/drawing/2014/main" id="{D3202844-DD30-0840-A1BA-8184E67A1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317500</xdr:colOff>
      <xdr:row>27</xdr:row>
      <xdr:rowOff>76200</xdr:rowOff>
    </xdr:from>
    <xdr:to>
      <xdr:col>5</xdr:col>
      <xdr:colOff>152400</xdr:colOff>
      <xdr:row>40</xdr:row>
      <xdr:rowOff>53972</xdr:rowOff>
    </xdr:to>
    <mc:AlternateContent xmlns:mc="http://schemas.openxmlformats.org/markup-compatibility/2006">
      <mc:Choice xmlns:a14="http://schemas.microsoft.com/office/drawing/2010/main" Requires="a14">
        <xdr:graphicFrame macro="">
          <xdr:nvGraphicFramePr>
            <xdr:cNvPr id="9" name="التصنيف ">
              <a:extLst>
                <a:ext uri="{FF2B5EF4-FFF2-40B4-BE49-F238E27FC236}">
                  <a16:creationId xmlns:a16="http://schemas.microsoft.com/office/drawing/2014/main" id="{8CA312DE-E877-D08F-004D-C5F384201DD6}"/>
                </a:ext>
              </a:extLst>
            </xdr:cNvPr>
            <xdr:cNvGraphicFramePr/>
          </xdr:nvGraphicFramePr>
          <xdr:xfrm>
            <a:off x="0" y="0"/>
            <a:ext cx="0" cy="0"/>
          </xdr:xfrm>
          <a:graphic>
            <a:graphicData uri="http://schemas.microsoft.com/office/drawing/2010/slicer">
              <sle:slicer xmlns:sle="http://schemas.microsoft.com/office/drawing/2010/slicer" name="التصنيف "/>
            </a:graphicData>
          </a:graphic>
        </xdr:graphicFrame>
      </mc:Choice>
      <mc:Fallback>
        <xdr:sp macro="" textlink="">
          <xdr:nvSpPr>
            <xdr:cNvPr id="0" name=""/>
            <xdr:cNvSpPr>
              <a:spLocks noTextEdit="1"/>
            </xdr:cNvSpPr>
          </xdr:nvSpPr>
          <xdr:spPr>
            <a:xfrm>
              <a:off x="13523137800" y="5562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342900</xdr:colOff>
      <xdr:row>27</xdr:row>
      <xdr:rowOff>127000</xdr:rowOff>
    </xdr:from>
    <xdr:to>
      <xdr:col>6</xdr:col>
      <xdr:colOff>647700</xdr:colOff>
      <xdr:row>40</xdr:row>
      <xdr:rowOff>104772</xdr:rowOff>
    </xdr:to>
    <mc:AlternateContent xmlns:mc="http://schemas.openxmlformats.org/markup-compatibility/2006">
      <mc:Choice xmlns:a14="http://schemas.microsoft.com/office/drawing/2010/main" Requires="a14">
        <xdr:graphicFrame macro="">
          <xdr:nvGraphicFramePr>
            <xdr:cNvPr id="10" name="المدينة ">
              <a:extLst>
                <a:ext uri="{FF2B5EF4-FFF2-40B4-BE49-F238E27FC236}">
                  <a16:creationId xmlns:a16="http://schemas.microsoft.com/office/drawing/2014/main" id="{4766966A-08CC-A47E-F5ED-A42609B685A0}"/>
                </a:ext>
              </a:extLst>
            </xdr:cNvPr>
            <xdr:cNvGraphicFramePr/>
          </xdr:nvGraphicFramePr>
          <xdr:xfrm>
            <a:off x="0" y="0"/>
            <a:ext cx="0" cy="0"/>
          </xdr:xfrm>
          <a:graphic>
            <a:graphicData uri="http://schemas.microsoft.com/office/drawing/2010/slicer">
              <sle:slicer xmlns:sle="http://schemas.microsoft.com/office/drawing/2010/slicer" name="المدينة "/>
            </a:graphicData>
          </a:graphic>
        </xdr:graphicFrame>
      </mc:Choice>
      <mc:Fallback>
        <xdr:sp macro="" textlink="">
          <xdr:nvSpPr>
            <xdr:cNvPr id="0" name=""/>
            <xdr:cNvSpPr>
              <a:spLocks noTextEdit="1"/>
            </xdr:cNvSpPr>
          </xdr:nvSpPr>
          <xdr:spPr>
            <a:xfrm>
              <a:off x="13521118500" y="561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27</xdr:row>
      <xdr:rowOff>50800</xdr:rowOff>
    </xdr:from>
    <xdr:to>
      <xdr:col>3</xdr:col>
      <xdr:colOff>152400</xdr:colOff>
      <xdr:row>40</xdr:row>
      <xdr:rowOff>28572</xdr:rowOff>
    </xdr:to>
    <mc:AlternateContent xmlns:mc="http://schemas.openxmlformats.org/markup-compatibility/2006">
      <mc:Choice xmlns:a14="http://schemas.microsoft.com/office/drawing/2010/main" Requires="a14">
        <xdr:graphicFrame macro="">
          <xdr:nvGraphicFramePr>
            <xdr:cNvPr id="20" name="دار النشر ">
              <a:extLst>
                <a:ext uri="{FF2B5EF4-FFF2-40B4-BE49-F238E27FC236}">
                  <a16:creationId xmlns:a16="http://schemas.microsoft.com/office/drawing/2014/main" id="{7CD32545-1AEC-03BC-1509-EFE7863FF4B5}"/>
                </a:ext>
              </a:extLst>
            </xdr:cNvPr>
            <xdr:cNvGraphicFramePr/>
          </xdr:nvGraphicFramePr>
          <xdr:xfrm>
            <a:off x="0" y="0"/>
            <a:ext cx="0" cy="0"/>
          </xdr:xfrm>
          <a:graphic>
            <a:graphicData uri="http://schemas.microsoft.com/office/drawing/2010/slicer">
              <sle:slicer xmlns:sle="http://schemas.microsoft.com/office/drawing/2010/slicer" name="دار النشر "/>
            </a:graphicData>
          </a:graphic>
        </xdr:graphicFrame>
      </mc:Choice>
      <mc:Fallback>
        <xdr:sp macro="" textlink="">
          <xdr:nvSpPr>
            <xdr:cNvPr id="0" name=""/>
            <xdr:cNvSpPr>
              <a:spLocks noTextEdit="1"/>
            </xdr:cNvSpPr>
          </xdr:nvSpPr>
          <xdr:spPr>
            <a:xfrm>
              <a:off x="13525131700" y="5537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58598</xdr:colOff>
      <xdr:row>7</xdr:row>
      <xdr:rowOff>12255</xdr:rowOff>
    </xdr:from>
    <xdr:to>
      <xdr:col>4</xdr:col>
      <xdr:colOff>386258</xdr:colOff>
      <xdr:row>17</xdr:row>
      <xdr:rowOff>111182</xdr:rowOff>
    </xdr:to>
    <xdr:graphicFrame macro="">
      <xdr:nvGraphicFramePr>
        <xdr:cNvPr id="2" name="Chart 1">
          <a:extLst>
            <a:ext uri="{FF2B5EF4-FFF2-40B4-BE49-F238E27FC236}">
              <a16:creationId xmlns:a16="http://schemas.microsoft.com/office/drawing/2014/main" id="{9858BC37-F0CA-804D-AFA9-E4B64997D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510719</xdr:colOff>
      <xdr:row>7</xdr:row>
      <xdr:rowOff>14795</xdr:rowOff>
    </xdr:from>
    <xdr:to>
      <xdr:col>8</xdr:col>
      <xdr:colOff>523419</xdr:colOff>
      <xdr:row>17</xdr:row>
      <xdr:rowOff>139122</xdr:rowOff>
    </xdr:to>
    <xdr:graphicFrame macro="">
      <xdr:nvGraphicFramePr>
        <xdr:cNvPr id="3" name="Chart 2">
          <a:extLst>
            <a:ext uri="{FF2B5EF4-FFF2-40B4-BE49-F238E27FC236}">
              <a16:creationId xmlns:a16="http://schemas.microsoft.com/office/drawing/2014/main" id="{ED9A5974-73A3-D74E-A1C8-A4D8E3BB0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675818</xdr:colOff>
      <xdr:row>7</xdr:row>
      <xdr:rowOff>15775</xdr:rowOff>
    </xdr:from>
    <xdr:to>
      <xdr:col>13</xdr:col>
      <xdr:colOff>152578</xdr:colOff>
      <xdr:row>17</xdr:row>
      <xdr:rowOff>165502</xdr:rowOff>
    </xdr:to>
    <xdr:graphicFrame macro="">
      <xdr:nvGraphicFramePr>
        <xdr:cNvPr id="4" name="Chart 3">
          <a:extLst>
            <a:ext uri="{FF2B5EF4-FFF2-40B4-BE49-F238E27FC236}">
              <a16:creationId xmlns:a16="http://schemas.microsoft.com/office/drawing/2014/main" id="{BAE6C839-32BA-0349-89A2-F1C9047E4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222807</xdr:colOff>
      <xdr:row>7</xdr:row>
      <xdr:rowOff>15775</xdr:rowOff>
    </xdr:from>
    <xdr:to>
      <xdr:col>17</xdr:col>
      <xdr:colOff>343480</xdr:colOff>
      <xdr:row>17</xdr:row>
      <xdr:rowOff>189387</xdr:rowOff>
    </xdr:to>
    <xdr:graphicFrame macro="">
      <xdr:nvGraphicFramePr>
        <xdr:cNvPr id="5" name="Chart 4">
          <a:extLst>
            <a:ext uri="{FF2B5EF4-FFF2-40B4-BE49-F238E27FC236}">
              <a16:creationId xmlns:a16="http://schemas.microsoft.com/office/drawing/2014/main" id="{B7D46847-2D16-4B45-830D-4C27E344D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178245</xdr:colOff>
      <xdr:row>18</xdr:row>
      <xdr:rowOff>100262</xdr:rowOff>
    </xdr:from>
    <xdr:to>
      <xdr:col>3</xdr:col>
      <xdr:colOff>768683</xdr:colOff>
      <xdr:row>21</xdr:row>
      <xdr:rowOff>167104</xdr:rowOff>
    </xdr:to>
    <mc:AlternateContent xmlns:mc="http://schemas.openxmlformats.org/markup-compatibility/2006" xmlns:a14="http://schemas.microsoft.com/office/drawing/2010/main">
      <mc:Choice Requires="a14">
        <xdr:graphicFrame macro="">
          <xdr:nvGraphicFramePr>
            <xdr:cNvPr id="6" name="المدينة  1">
              <a:extLst>
                <a:ext uri="{FF2B5EF4-FFF2-40B4-BE49-F238E27FC236}">
                  <a16:creationId xmlns:a16="http://schemas.microsoft.com/office/drawing/2014/main" id="{9279C6E1-75E8-E842-94ED-A57430B06CD2}"/>
                </a:ext>
              </a:extLst>
            </xdr:cNvPr>
            <xdr:cNvGraphicFramePr/>
          </xdr:nvGraphicFramePr>
          <xdr:xfrm>
            <a:off x="0" y="0"/>
            <a:ext cx="0" cy="0"/>
          </xdr:xfrm>
          <a:graphic>
            <a:graphicData uri="http://schemas.microsoft.com/office/drawing/2010/slicer">
              <sle:slicer xmlns:sle="http://schemas.microsoft.com/office/drawing/2010/slicer" name="المدينة  1"/>
            </a:graphicData>
          </a:graphic>
        </xdr:graphicFrame>
      </mc:Choice>
      <mc:Fallback xmlns="">
        <xdr:sp macro="" textlink="">
          <xdr:nvSpPr>
            <xdr:cNvPr id="0" name=""/>
            <xdr:cNvSpPr>
              <a:spLocks noTextEdit="1"/>
            </xdr:cNvSpPr>
          </xdr:nvSpPr>
          <xdr:spPr>
            <a:xfrm>
              <a:off x="13503497808" y="3709736"/>
              <a:ext cx="3063596" cy="668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89124</xdr:colOff>
      <xdr:row>18</xdr:row>
      <xdr:rowOff>100263</xdr:rowOff>
    </xdr:from>
    <xdr:to>
      <xdr:col>7</xdr:col>
      <xdr:colOff>746403</xdr:colOff>
      <xdr:row>21</xdr:row>
      <xdr:rowOff>167105</xdr:rowOff>
    </xdr:to>
    <mc:AlternateContent xmlns:mc="http://schemas.openxmlformats.org/markup-compatibility/2006" xmlns:a14="http://schemas.microsoft.com/office/drawing/2010/main">
      <mc:Choice Requires="a14">
        <xdr:graphicFrame macro="">
          <xdr:nvGraphicFramePr>
            <xdr:cNvPr id="7" name="التصنيف  1">
              <a:extLst>
                <a:ext uri="{FF2B5EF4-FFF2-40B4-BE49-F238E27FC236}">
                  <a16:creationId xmlns:a16="http://schemas.microsoft.com/office/drawing/2014/main" id="{8A023D77-EBC2-3D48-A2D1-E8D4DD330B18}"/>
                </a:ext>
              </a:extLst>
            </xdr:cNvPr>
            <xdr:cNvGraphicFramePr/>
          </xdr:nvGraphicFramePr>
          <xdr:xfrm>
            <a:off x="0" y="0"/>
            <a:ext cx="0" cy="0"/>
          </xdr:xfrm>
          <a:graphic>
            <a:graphicData uri="http://schemas.microsoft.com/office/drawing/2010/slicer">
              <sle:slicer xmlns:sle="http://schemas.microsoft.com/office/drawing/2010/slicer" name="التصنيف  1"/>
            </a:graphicData>
          </a:graphic>
        </xdr:graphicFrame>
      </mc:Choice>
      <mc:Fallback xmlns="">
        <xdr:sp macro="" textlink="">
          <xdr:nvSpPr>
            <xdr:cNvPr id="0" name=""/>
            <xdr:cNvSpPr>
              <a:spLocks noTextEdit="1"/>
            </xdr:cNvSpPr>
          </xdr:nvSpPr>
          <xdr:spPr>
            <a:xfrm>
              <a:off x="13500222544" y="3709737"/>
              <a:ext cx="3130437" cy="668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44562</xdr:colOff>
      <xdr:row>18</xdr:row>
      <xdr:rowOff>122543</xdr:rowOff>
    </xdr:from>
    <xdr:to>
      <xdr:col>11</xdr:col>
      <xdr:colOff>225704</xdr:colOff>
      <xdr:row>22</xdr:row>
      <xdr:rowOff>6238</xdr:rowOff>
    </xdr:to>
    <mc:AlternateContent xmlns:mc="http://schemas.openxmlformats.org/markup-compatibility/2006" xmlns:a14="http://schemas.microsoft.com/office/drawing/2010/main">
      <mc:Choice Requires="a14">
        <xdr:graphicFrame macro="">
          <xdr:nvGraphicFramePr>
            <xdr:cNvPr id="13" name="دار النشر  1">
              <a:extLst>
                <a:ext uri="{FF2B5EF4-FFF2-40B4-BE49-F238E27FC236}">
                  <a16:creationId xmlns:a16="http://schemas.microsoft.com/office/drawing/2014/main" id="{E50BDA16-EFE4-D442-BDA0-94ECBB3D596E}"/>
                </a:ext>
              </a:extLst>
            </xdr:cNvPr>
            <xdr:cNvGraphicFramePr/>
          </xdr:nvGraphicFramePr>
          <xdr:xfrm>
            <a:off x="0" y="0"/>
            <a:ext cx="0" cy="0"/>
          </xdr:xfrm>
          <a:graphic>
            <a:graphicData uri="http://schemas.microsoft.com/office/drawing/2010/slicer">
              <sle:slicer xmlns:sle="http://schemas.microsoft.com/office/drawing/2010/slicer" name="دار النشر  1"/>
            </a:graphicData>
          </a:graphic>
        </xdr:graphicFrame>
      </mc:Choice>
      <mc:Fallback xmlns="">
        <xdr:sp macro="" textlink="">
          <xdr:nvSpPr>
            <xdr:cNvPr id="0" name=""/>
            <xdr:cNvSpPr>
              <a:spLocks noTextEdit="1"/>
            </xdr:cNvSpPr>
          </xdr:nvSpPr>
          <xdr:spPr>
            <a:xfrm>
              <a:off x="13497445699" y="3732017"/>
              <a:ext cx="26543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lan Alyoubi" refreshedDate="46281.976019907408" createdVersion="8" refreshedVersion="8" minRefreshableVersion="3" recordCount="21" xr:uid="{B5ACC500-3295-9C44-A1CE-9441F86B1AE1}">
  <cacheSource type="worksheet">
    <worksheetSource name="Table1"/>
  </cacheSource>
  <cacheFields count="9">
    <cacheField name="التاريخ " numFmtId="16">
      <sharedItems containsSemiMixedTypes="0" containsNonDate="0" containsDate="1" containsString="0" minDate="2026-01-01T00:00:00" maxDate="2026-01-08T00:00:00" count="7">
        <d v="2026-01-01T00:00:00"/>
        <d v="2026-01-02T00:00:00"/>
        <d v="2026-01-03T00:00:00"/>
        <d v="2026-01-04T00:00:00"/>
        <d v="2026-01-05T00:00:00"/>
        <d v="2026-01-06T00:00:00"/>
        <d v="2026-01-07T00:00:00"/>
      </sharedItems>
    </cacheField>
    <cacheField name="الجناح " numFmtId="0">
      <sharedItems count="3">
        <s v="A1"/>
        <s v="A2"/>
        <s v="A3"/>
      </sharedItems>
    </cacheField>
    <cacheField name="دار النشر " numFmtId="0">
      <sharedItems count="4">
        <s v="المعرفة"/>
        <s v="الفكر"/>
        <s v="الإبداع"/>
        <s v="الفكر " u="1"/>
      </sharedItems>
    </cacheField>
    <cacheField name="التصنيف " numFmtId="0">
      <sharedItems count="3">
        <s v="أدب "/>
        <s v="تاريخ "/>
        <s v="أطفال"/>
      </sharedItems>
    </cacheField>
    <cacheField name="عدد الكتب المباعة" numFmtId="0">
      <sharedItems containsSemiMixedTypes="0" containsString="0" containsNumber="1" containsInteger="1" minValue="80" maxValue="250"/>
    </cacheField>
    <cacheField name="الإيرادات " numFmtId="0">
      <sharedItems containsSemiMixedTypes="0" containsString="0" containsNumber="1" containsInteger="1" minValue="2400" maxValue="7500"/>
    </cacheField>
    <cacheField name="عدد الزوار " numFmtId="0">
      <sharedItems containsSemiMixedTypes="0" containsString="0" containsNumber="1" containsInteger="1" minValue="320" maxValue="750"/>
    </cacheField>
    <cacheField name="المدينة " numFmtId="0">
      <sharedItems count="3">
        <s v="الرياض "/>
        <s v="جدة "/>
        <s v="الدمام "/>
      </sharedItems>
    </cacheField>
    <cacheField name="تصنيف الجناح " numFmtId="0">
      <sharedItems/>
    </cacheField>
  </cacheFields>
  <extLst>
    <ext xmlns:x14="http://schemas.microsoft.com/office/spreadsheetml/2009/9/main" uri="{725AE2AE-9491-48be-B2B4-4EB974FC3084}">
      <x14:pivotCacheDefinition pivotCacheId="458820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n v="120"/>
    <n v="3600"/>
    <n v="450"/>
    <x v="0"/>
    <s v="أداء متوسط"/>
  </r>
  <r>
    <x v="0"/>
    <x v="1"/>
    <x v="1"/>
    <x v="1"/>
    <n v="80"/>
    <n v="2400"/>
    <n v="320"/>
    <x v="1"/>
    <s v="أداء متوسط"/>
  </r>
  <r>
    <x v="0"/>
    <x v="2"/>
    <x v="2"/>
    <x v="2"/>
    <n v="150"/>
    <n v="4500"/>
    <n v="500"/>
    <x v="2"/>
    <s v="أداء متوسط"/>
  </r>
  <r>
    <x v="1"/>
    <x v="0"/>
    <x v="0"/>
    <x v="0"/>
    <n v="140"/>
    <n v="4200"/>
    <n v="480"/>
    <x v="0"/>
    <s v="أداء متوسط"/>
  </r>
  <r>
    <x v="1"/>
    <x v="1"/>
    <x v="1"/>
    <x v="1"/>
    <n v="90"/>
    <n v="2700"/>
    <n v="350"/>
    <x v="1"/>
    <s v="أداء متوسط"/>
  </r>
  <r>
    <x v="1"/>
    <x v="2"/>
    <x v="2"/>
    <x v="2"/>
    <n v="170"/>
    <n v="5100"/>
    <n v="550"/>
    <x v="2"/>
    <s v="أداء مرتفع"/>
  </r>
  <r>
    <x v="2"/>
    <x v="0"/>
    <x v="0"/>
    <x v="0"/>
    <n v="160"/>
    <n v="4800"/>
    <n v="520"/>
    <x v="0"/>
    <s v="أداء متوسط"/>
  </r>
  <r>
    <x v="2"/>
    <x v="1"/>
    <x v="1"/>
    <x v="1"/>
    <n v="110"/>
    <n v="3300"/>
    <n v="400"/>
    <x v="1"/>
    <s v="أداء متوسط"/>
  </r>
  <r>
    <x v="2"/>
    <x v="2"/>
    <x v="2"/>
    <x v="2"/>
    <n v="180"/>
    <n v="5400"/>
    <n v="600"/>
    <x v="2"/>
    <s v="أداء مرتفع"/>
  </r>
  <r>
    <x v="3"/>
    <x v="0"/>
    <x v="0"/>
    <x v="0"/>
    <n v="130"/>
    <n v="3900"/>
    <n v="470"/>
    <x v="0"/>
    <s v="أداء متوسط"/>
  </r>
  <r>
    <x v="3"/>
    <x v="1"/>
    <x v="1"/>
    <x v="1"/>
    <n v="100"/>
    <n v="3000"/>
    <n v="380"/>
    <x v="1"/>
    <s v="أداء متوسط"/>
  </r>
  <r>
    <x v="3"/>
    <x v="2"/>
    <x v="2"/>
    <x v="2"/>
    <n v="190"/>
    <n v="5700"/>
    <n v="620"/>
    <x v="2"/>
    <s v="أداء مرتفع"/>
  </r>
  <r>
    <x v="4"/>
    <x v="0"/>
    <x v="0"/>
    <x v="0"/>
    <n v="170"/>
    <n v="5100"/>
    <n v="540"/>
    <x v="0"/>
    <s v="أداء مرتفع"/>
  </r>
  <r>
    <x v="4"/>
    <x v="1"/>
    <x v="1"/>
    <x v="1"/>
    <n v="120"/>
    <n v="3600"/>
    <n v="420"/>
    <x v="1"/>
    <s v="أداء متوسط"/>
  </r>
  <r>
    <x v="4"/>
    <x v="2"/>
    <x v="2"/>
    <x v="2"/>
    <n v="210"/>
    <n v="6300"/>
    <n v="680"/>
    <x v="2"/>
    <s v="أداء مرتفع"/>
  </r>
  <r>
    <x v="5"/>
    <x v="0"/>
    <x v="0"/>
    <x v="0"/>
    <n v="180"/>
    <n v="5400"/>
    <n v="600"/>
    <x v="0"/>
    <s v="أداء مرتفع"/>
  </r>
  <r>
    <x v="5"/>
    <x v="1"/>
    <x v="1"/>
    <x v="1"/>
    <n v="140"/>
    <n v="4200"/>
    <n v="460"/>
    <x v="1"/>
    <s v="أداء متوسط"/>
  </r>
  <r>
    <x v="5"/>
    <x v="2"/>
    <x v="2"/>
    <x v="2"/>
    <n v="220"/>
    <n v="6600"/>
    <n v="700"/>
    <x v="2"/>
    <s v="أداء مرتفع"/>
  </r>
  <r>
    <x v="6"/>
    <x v="0"/>
    <x v="0"/>
    <x v="0"/>
    <n v="200"/>
    <n v="6000"/>
    <n v="650"/>
    <x v="0"/>
    <s v="أداء مرتفع"/>
  </r>
  <r>
    <x v="6"/>
    <x v="1"/>
    <x v="1"/>
    <x v="1"/>
    <n v="150"/>
    <n v="4500"/>
    <n v="500"/>
    <x v="1"/>
    <s v="أداء متوسط"/>
  </r>
  <r>
    <x v="6"/>
    <x v="2"/>
    <x v="2"/>
    <x v="2"/>
    <n v="250"/>
    <n v="7500"/>
    <n v="750"/>
    <x v="2"/>
    <s v="أداء مرتفع"/>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711FC-E8ED-BF47-A87E-91DF934DA040}"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J7" firstHeaderRow="1" firstDataRow="1" firstDataCol="1"/>
  <pivotFields count="9">
    <pivotField numFmtId="16" showAll="0"/>
    <pivotField showAll="0"/>
    <pivotField showAll="0"/>
    <pivotField showAll="0"/>
    <pivotField showAll="0"/>
    <pivotField showAll="0"/>
    <pivotField dataField="1" showAll="0"/>
    <pivotField axis="axisRow" showAll="0">
      <items count="4">
        <item x="2"/>
        <item x="0"/>
        <item x="1"/>
        <item t="default"/>
      </items>
    </pivotField>
    <pivotField showAll="0"/>
  </pivotFields>
  <rowFields count="1">
    <field x="7"/>
  </rowFields>
  <rowItems count="4">
    <i>
      <x/>
    </i>
    <i>
      <x v="1"/>
    </i>
    <i>
      <x v="2"/>
    </i>
    <i t="grand">
      <x/>
    </i>
  </rowItems>
  <colItems count="1">
    <i/>
  </colItems>
  <dataFields count="1">
    <dataField name="Sum of عدد الزوار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B6C2BA-EF08-244C-A085-51734C7D7A17}"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7" firstHeaderRow="1" firstDataRow="1" firstDataCol="1"/>
  <pivotFields count="9">
    <pivotField numFmtId="16" showAll="0"/>
    <pivotField showAll="0"/>
    <pivotField showAll="0"/>
    <pivotField axis="axisRow" showAll="0">
      <items count="4">
        <item x="0"/>
        <item x="2"/>
        <item x="1"/>
        <item t="default"/>
      </items>
    </pivotField>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Sum of عدد الكتب المباعة"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A9FA0-800E-B24F-9CD7-6413BA80094C}"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9">
    <pivotField numFmtId="16" showAll="0"/>
    <pivotField showAll="0"/>
    <pivotField axis="axisRow" showAll="0">
      <items count="5">
        <item x="2"/>
        <item x="1"/>
        <item m="1" x="3"/>
        <item x="0"/>
        <item t="default"/>
      </items>
    </pivotField>
    <pivotField showAll="0">
      <items count="4">
        <item x="0"/>
        <item x="2"/>
        <item x="1"/>
        <item t="default"/>
      </items>
    </pivotField>
    <pivotField showAll="0"/>
    <pivotField dataField="1" showAll="0"/>
    <pivotField showAll="0"/>
    <pivotField showAll="0">
      <items count="4">
        <item x="2"/>
        <item x="0"/>
        <item x="1"/>
        <item t="default"/>
      </items>
    </pivotField>
    <pivotField showAll="0"/>
  </pivotFields>
  <rowFields count="1">
    <field x="2"/>
  </rowFields>
  <rowItems count="4">
    <i>
      <x/>
    </i>
    <i>
      <x v="1"/>
    </i>
    <i>
      <x v="3"/>
    </i>
    <i t="grand">
      <x/>
    </i>
  </rowItems>
  <colItems count="1">
    <i/>
  </colItems>
  <dataFields count="1">
    <dataField name="Sum of الإيرادات " fld="5"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8A6777-8ECC-4140-B036-A17F8C6B99EB}"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4:P12" firstHeaderRow="1" firstDataRow="1" firstDataCol="1"/>
  <pivotFields count="9">
    <pivotField axis="axisRow" numFmtId="16" showAll="0">
      <items count="8">
        <item x="0"/>
        <item x="1"/>
        <item x="2"/>
        <item x="3"/>
        <item x="4"/>
        <item x="5"/>
        <item x="6"/>
        <item t="default"/>
      </items>
    </pivotField>
    <pivotField showAll="0"/>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 of عدد الزوار " fld="6"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09AC42-D36B-8D45-885F-D9FC95710B8D}"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7" firstHeaderRow="1" firstDataRow="1" firstDataCol="1"/>
  <pivotFields count="9">
    <pivotField numFmtId="16" showAll="0"/>
    <pivotField axis="axisRow" showAll="0">
      <items count="4">
        <item x="0"/>
        <item x="1"/>
        <item x="2"/>
        <item t="default"/>
      </items>
    </pivotField>
    <pivotField showAll="0"/>
    <pivotField showAll="0"/>
    <pivotField dataField="1" showAll="0"/>
    <pivotField showAll="0"/>
    <pivotField showAll="0"/>
    <pivotField showAll="0"/>
    <pivotField showAll="0"/>
  </pivotFields>
  <rowFields count="1">
    <field x="1"/>
  </rowFields>
  <rowItems count="4">
    <i>
      <x/>
    </i>
    <i>
      <x v="1"/>
    </i>
    <i>
      <x v="2"/>
    </i>
    <i t="grand">
      <x/>
    </i>
  </rowItems>
  <colItems count="1">
    <i/>
  </colItems>
  <dataFields count="1">
    <dataField name="Sum of عدد الكتب المباعة"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صنيف" xr10:uid="{83081BC2-709C-1E4D-ADB1-77BAB37BF5CF}" sourceName="التصنيف ">
  <pivotTables>
    <pivotTable tabId="3" name="PivotTable9"/>
  </pivotTables>
  <data>
    <tabular pivotCacheId="45882092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دينة" xr10:uid="{9E4A55D8-5A4F-FA4A-85F3-29D7AA52E83E}" sourceName="المدينة ">
  <pivotTables>
    <pivotTable tabId="3" name="PivotTable9"/>
  </pivotTables>
  <data>
    <tabular pivotCacheId="45882092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دار_النشر" xr10:uid="{48BB40AC-2B1B-CC4E-8E40-69815333995D}" sourceName="دار النشر ">
  <pivotTables>
    <pivotTable tabId="3" name="PivotTable9"/>
  </pivotTables>
  <data>
    <tabular pivotCacheId="458820929">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صنيف " xr10:uid="{AEEF95A7-F709-BE4E-9193-447F4EC11FB3}" cache="Slicer_التصنيف" caption="التصنيف " rowHeight="251883"/>
  <slicer name="المدينة " xr10:uid="{751133CB-B3DC-B34F-9DE2-BFDE587EAABB}" cache="Slicer_المدينة" caption="المدينة " rowHeight="251883"/>
  <slicer name="دار النشر " xr10:uid="{7CCF0EAE-7BF6-CC4B-A401-3720987DFCB7}" cache="Slicer_دار_النشر" caption="دار النشر "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صنيف  1" xr10:uid="{80C52183-B3BC-2C49-A96E-AD18555C3472}" cache="Slicer_التصنيف" caption="التصنيف " columnCount="3" rowHeight="251883"/>
  <slicer name="المدينة  1" xr10:uid="{FB38F46D-2640-9742-AADC-67A15EA372BB}" cache="Slicer_المدينة" caption="المدينة " columnCount="3" rowHeight="251883"/>
  <slicer name="دار النشر  1" xr10:uid="{9E59B563-4BA4-624F-90A7-E6E2573B1E30}" cache="Slicer_دار_النشر" caption="دار النشر "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1ACAC1-29D9-4542-88EC-056EC17A6F7B}" name="Table1" displayName="Table1" ref="A1:I22" totalsRowShown="0" headerRowDxfId="15" dataDxfId="14">
  <autoFilter ref="A1:I22" xr:uid="{0E1ACAC1-29D9-4542-88EC-056EC17A6F7B}"/>
  <tableColumns count="9">
    <tableColumn id="1" xr3:uid="{84F4DF2D-4B89-5E42-BA38-430CFA4368EF}" name="التاريخ " dataDxfId="13"/>
    <tableColumn id="2" xr3:uid="{8FD14C85-DD6E-B84E-AD01-95C9AE7F5A84}" name="الجناح " dataDxfId="12"/>
    <tableColumn id="3" xr3:uid="{B96D2BE1-6888-E347-8B13-811A2723C237}" name="دار النشر " dataDxfId="11"/>
    <tableColumn id="4" xr3:uid="{120085C0-B6D8-7540-B164-7B4FB591A8CE}" name="التصنيف " dataDxfId="10"/>
    <tableColumn id="5" xr3:uid="{EE98BC0F-6F91-0449-AEA1-B05BC54C760D}" name="عدد الكتب المباعة" dataDxfId="9"/>
    <tableColumn id="6" xr3:uid="{C16E491A-0E71-8745-BC80-291815E8616E}" name="الإيرادات " dataDxfId="8"/>
    <tableColumn id="7" xr3:uid="{D1F98D79-CC57-B145-86BB-6AA598E0B8B2}" name="عدد الزوار " dataDxfId="7"/>
    <tableColumn id="8" xr3:uid="{90DAFCDB-768B-B148-A9EE-FE61EF3BEECC}" name="المدينة " dataDxfId="6"/>
    <tableColumn id="9" xr3:uid="{BE314E83-210D-7F4D-BEA2-2F67160AC0A7}" name="تصنيف الجناح " dataDxfId="5">
      <calculatedColumnFormula>IF(Table1[[#This Row],[الإيرادات ]]&gt;5000,"أداء مرتفع","أداء متوسط")</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0EF00F-6744-A946-A79D-3397B781148F}" name="Table2" displayName="Table2" ref="K6:L7" headerRowCount="0" totalsRowShown="0">
  <tableColumns count="2">
    <tableColumn id="1" xr3:uid="{E3343830-E0E3-424A-973A-DB4C80F1CA2B}" name="Column1"/>
    <tableColumn id="2" xr3:uid="{800B4BA8-9A02-4349-BF28-81C0D1566ADD}" name="Column2" dataDxfId="4">
      <calculatedColumnFormula>COUNTIFS(D:D, "أطفال", E:E, "&gt;150")</calculatedColumnFormula>
    </tableColumn>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A71E47-B7CA-3149-9628-3BEA897E18C9}" name="Table3" displayName="Table3" ref="K12:K14" headerRowCount="0" totalsRowShown="0" headerRowDxfId="3" headerRowBorderDxfId="2" tableBorderDxfId="1">
  <tableColumns count="1">
    <tableColumn id="1" xr3:uid="{618F62D0-7620-7D4D-A43A-CA5C9A50CA52}" name="Column1" headerRowDxfId="0"/>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E1AE-6881-D64D-9700-17DCCBB45EAA}">
  <dimension ref="A1:L43"/>
  <sheetViews>
    <sheetView rightToLeft="1" workbookViewId="0">
      <selection activeCell="M10" sqref="M10"/>
    </sheetView>
  </sheetViews>
  <sheetFormatPr baseColWidth="10" defaultRowHeight="16" x14ac:dyDescent="0.2"/>
  <cols>
    <col min="3" max="3" width="12.6640625" bestFit="1" customWidth="1"/>
    <col min="4" max="4" width="12.1640625" bestFit="1" customWidth="1"/>
    <col min="5" max="5" width="18.83203125" bestFit="1" customWidth="1"/>
    <col min="6" max="6" width="12.1640625" bestFit="1" customWidth="1"/>
    <col min="7" max="7" width="13.33203125" bestFit="1" customWidth="1"/>
    <col min="9" max="9" width="16.33203125" bestFit="1" customWidth="1"/>
    <col min="11" max="11" width="51.6640625" bestFit="1" customWidth="1"/>
  </cols>
  <sheetData>
    <row r="1" spans="1:12" x14ac:dyDescent="0.2">
      <c r="A1" s="2" t="s">
        <v>0</v>
      </c>
      <c r="B1" s="2" t="s">
        <v>1</v>
      </c>
      <c r="C1" s="2" t="s">
        <v>2</v>
      </c>
      <c r="D1" s="2" t="s">
        <v>3</v>
      </c>
      <c r="E1" s="2" t="s">
        <v>4</v>
      </c>
      <c r="F1" s="2" t="s">
        <v>5</v>
      </c>
      <c r="G1" s="2" t="s">
        <v>6</v>
      </c>
      <c r="H1" s="2" t="s">
        <v>7</v>
      </c>
      <c r="I1" s="2" t="s">
        <v>21</v>
      </c>
    </row>
    <row r="2" spans="1:12" x14ac:dyDescent="0.2">
      <c r="A2" s="3">
        <v>46023</v>
      </c>
      <c r="B2" s="2" t="s">
        <v>8</v>
      </c>
      <c r="C2" s="2" t="s">
        <v>11</v>
      </c>
      <c r="D2" s="2" t="s">
        <v>14</v>
      </c>
      <c r="E2" s="2">
        <v>120</v>
      </c>
      <c r="F2" s="2">
        <v>3600</v>
      </c>
      <c r="G2" s="2">
        <v>450</v>
      </c>
      <c r="H2" s="2" t="s">
        <v>18</v>
      </c>
      <c r="I2" s="2" t="str">
        <f>IF(Table1[[#This Row],[الإيرادات ]]&gt;5000,"أداء مرتفع","أداء متوسط")</f>
        <v>أداء متوسط</v>
      </c>
    </row>
    <row r="3" spans="1:12" x14ac:dyDescent="0.2">
      <c r="A3" s="3">
        <v>46023</v>
      </c>
      <c r="B3" s="2" t="s">
        <v>9</v>
      </c>
      <c r="C3" s="2" t="s">
        <v>12</v>
      </c>
      <c r="D3" s="2" t="s">
        <v>15</v>
      </c>
      <c r="E3" s="2">
        <v>80</v>
      </c>
      <c r="F3" s="2">
        <v>2400</v>
      </c>
      <c r="G3" s="2">
        <v>320</v>
      </c>
      <c r="H3" s="2" t="s">
        <v>19</v>
      </c>
      <c r="I3" s="2" t="str">
        <f>IF(Table1[[#This Row],[الإيرادات ]]&gt;5000,"أداء مرتفع","أداء متوسط")</f>
        <v>أداء متوسط</v>
      </c>
    </row>
    <row r="4" spans="1:12" x14ac:dyDescent="0.2">
      <c r="A4" s="3">
        <v>46023</v>
      </c>
      <c r="B4" s="2" t="s">
        <v>10</v>
      </c>
      <c r="C4" s="2" t="s">
        <v>13</v>
      </c>
      <c r="D4" s="2" t="s">
        <v>16</v>
      </c>
      <c r="E4" s="2">
        <v>150</v>
      </c>
      <c r="F4" s="2">
        <v>4500</v>
      </c>
      <c r="G4" s="2">
        <v>500</v>
      </c>
      <c r="H4" s="2" t="s">
        <v>20</v>
      </c>
      <c r="I4" s="2" t="str">
        <f>IF(Table1[[#This Row],[الإيرادات ]]&gt;5000,"أداء مرتفع","أداء متوسط")</f>
        <v>أداء متوسط</v>
      </c>
    </row>
    <row r="5" spans="1:12" x14ac:dyDescent="0.2">
      <c r="A5" s="3">
        <v>46024</v>
      </c>
      <c r="B5" s="2" t="s">
        <v>8</v>
      </c>
      <c r="C5" s="2" t="s">
        <v>11</v>
      </c>
      <c r="D5" s="2" t="s">
        <v>14</v>
      </c>
      <c r="E5" s="2">
        <v>140</v>
      </c>
      <c r="F5" s="2">
        <v>4200</v>
      </c>
      <c r="G5" s="2">
        <v>480</v>
      </c>
      <c r="H5" s="2" t="s">
        <v>18</v>
      </c>
      <c r="I5" s="2" t="str">
        <f>IF(Table1[[#This Row],[الإيرادات ]]&gt;5000,"أداء مرتفع","أداء متوسط")</f>
        <v>أداء متوسط</v>
      </c>
    </row>
    <row r="6" spans="1:12" x14ac:dyDescent="0.2">
      <c r="A6" s="3">
        <v>46024</v>
      </c>
      <c r="B6" s="2" t="s">
        <v>9</v>
      </c>
      <c r="C6" s="2" t="s">
        <v>12</v>
      </c>
      <c r="D6" s="2" t="s">
        <v>15</v>
      </c>
      <c r="E6" s="2">
        <v>90</v>
      </c>
      <c r="F6" s="2">
        <v>2700</v>
      </c>
      <c r="G6" s="2">
        <v>350</v>
      </c>
      <c r="H6" s="2" t="s">
        <v>19</v>
      </c>
      <c r="I6" s="2" t="str">
        <f>IF(Table1[[#This Row],[الإيرادات ]]&gt;5000,"أداء مرتفع","أداء متوسط")</f>
        <v>أداء متوسط</v>
      </c>
      <c r="K6" t="s">
        <v>22</v>
      </c>
      <c r="L6">
        <f>COUNTIFS(D:D, "أطفال", E:E, "&gt;150")</f>
        <v>6</v>
      </c>
    </row>
    <row r="7" spans="1:12" x14ac:dyDescent="0.2">
      <c r="A7" s="3">
        <v>46024</v>
      </c>
      <c r="B7" s="2" t="s">
        <v>10</v>
      </c>
      <c r="C7" s="2" t="s">
        <v>13</v>
      </c>
      <c r="D7" s="2" t="s">
        <v>16</v>
      </c>
      <c r="E7" s="2">
        <v>170</v>
      </c>
      <c r="F7" s="2">
        <v>5100</v>
      </c>
      <c r="G7" s="2">
        <v>550</v>
      </c>
      <c r="H7" s="2" t="s">
        <v>20</v>
      </c>
      <c r="I7" s="2" t="str">
        <f>IF(Table1[[#This Row],[الإيرادات ]]&gt;5000,"أداء مرتفع","أداء متوسط")</f>
        <v>أداء مرتفع</v>
      </c>
      <c r="K7" t="s">
        <v>23</v>
      </c>
      <c r="L7">
        <f>SUMIFS(F:F, D:D, "أدب ")</f>
        <v>33000</v>
      </c>
    </row>
    <row r="8" spans="1:12" x14ac:dyDescent="0.2">
      <c r="A8" s="3">
        <v>46025</v>
      </c>
      <c r="B8" s="2" t="s">
        <v>8</v>
      </c>
      <c r="C8" s="2" t="s">
        <v>11</v>
      </c>
      <c r="D8" s="2" t="s">
        <v>14</v>
      </c>
      <c r="E8" s="2">
        <v>160</v>
      </c>
      <c r="F8" s="2">
        <v>4800</v>
      </c>
      <c r="G8" s="2">
        <v>520</v>
      </c>
      <c r="H8" s="2" t="s">
        <v>18</v>
      </c>
      <c r="I8" s="2" t="str">
        <f>IF(Table1[[#This Row],[الإيرادات ]]&gt;5000,"أداء مرتفع","أداء متوسط")</f>
        <v>أداء متوسط</v>
      </c>
    </row>
    <row r="9" spans="1:12" x14ac:dyDescent="0.2">
      <c r="A9" s="3">
        <v>46025</v>
      </c>
      <c r="B9" s="2" t="s">
        <v>9</v>
      </c>
      <c r="C9" s="2" t="s">
        <v>12</v>
      </c>
      <c r="D9" s="2" t="s">
        <v>15</v>
      </c>
      <c r="E9" s="2">
        <v>110</v>
      </c>
      <c r="F9" s="2">
        <v>3300</v>
      </c>
      <c r="G9" s="2">
        <v>400</v>
      </c>
      <c r="H9" s="2" t="s">
        <v>19</v>
      </c>
      <c r="I9" s="2" t="str">
        <f>IF(Table1[[#This Row],[الإيرادات ]]&gt;5000,"أداء مرتفع","أداء متوسط")</f>
        <v>أداء متوسط</v>
      </c>
    </row>
    <row r="10" spans="1:12" x14ac:dyDescent="0.2">
      <c r="A10" s="3">
        <v>46025</v>
      </c>
      <c r="B10" s="2" t="s">
        <v>10</v>
      </c>
      <c r="C10" s="2" t="s">
        <v>13</v>
      </c>
      <c r="D10" s="2" t="s">
        <v>16</v>
      </c>
      <c r="E10" s="2">
        <v>180</v>
      </c>
      <c r="F10" s="2">
        <v>5400</v>
      </c>
      <c r="G10" s="2">
        <v>600</v>
      </c>
      <c r="H10" s="2" t="s">
        <v>20</v>
      </c>
      <c r="I10" s="2" t="str">
        <f>IF(Table1[[#This Row],[الإيرادات ]]&gt;5000,"أداء مرتفع","أداء متوسط")</f>
        <v>أداء مرتفع</v>
      </c>
    </row>
    <row r="11" spans="1:12" x14ac:dyDescent="0.2">
      <c r="A11" s="3">
        <v>46026</v>
      </c>
      <c r="B11" s="2" t="s">
        <v>8</v>
      </c>
      <c r="C11" s="2" t="s">
        <v>11</v>
      </c>
      <c r="D11" s="2" t="s">
        <v>14</v>
      </c>
      <c r="E11" s="2">
        <v>130</v>
      </c>
      <c r="F11" s="2">
        <v>3900</v>
      </c>
      <c r="G11" s="2">
        <v>470</v>
      </c>
      <c r="H11" s="2" t="s">
        <v>18</v>
      </c>
      <c r="I11" s="2" t="str">
        <f>IF(Table1[[#This Row],[الإيرادات ]]&gt;5000,"أداء مرتفع","أداء متوسط")</f>
        <v>أداء متوسط</v>
      </c>
    </row>
    <row r="12" spans="1:12" x14ac:dyDescent="0.2">
      <c r="A12" s="3">
        <v>46026</v>
      </c>
      <c r="B12" s="2" t="s">
        <v>9</v>
      </c>
      <c r="C12" s="2" t="s">
        <v>12</v>
      </c>
      <c r="D12" s="2" t="s">
        <v>15</v>
      </c>
      <c r="E12" s="2">
        <v>100</v>
      </c>
      <c r="F12" s="2">
        <v>3000</v>
      </c>
      <c r="G12" s="2">
        <v>380</v>
      </c>
      <c r="H12" s="2" t="s">
        <v>19</v>
      </c>
      <c r="I12" s="2" t="str">
        <f>IF(Table1[[#This Row],[الإيرادات ]]&gt;5000,"أداء مرتفع","أداء متوسط")</f>
        <v>أداء متوسط</v>
      </c>
      <c r="K12" s="4" t="s">
        <v>24</v>
      </c>
    </row>
    <row r="13" spans="1:12" x14ac:dyDescent="0.2">
      <c r="A13" s="3">
        <v>46026</v>
      </c>
      <c r="B13" s="2" t="s">
        <v>10</v>
      </c>
      <c r="C13" s="2" t="s">
        <v>13</v>
      </c>
      <c r="D13" s="2" t="s">
        <v>16</v>
      </c>
      <c r="E13" s="2">
        <v>190</v>
      </c>
      <c r="F13" s="2">
        <v>5700</v>
      </c>
      <c r="G13" s="2">
        <v>620</v>
      </c>
      <c r="H13" s="2" t="s">
        <v>20</v>
      </c>
      <c r="I13" s="2" t="str">
        <f>IF(Table1[[#This Row],[الإيرادات ]]&gt;5000,"أداء مرتفع","أداء متوسط")</f>
        <v>أداء مرتفع</v>
      </c>
      <c r="K13" t="s">
        <v>19</v>
      </c>
    </row>
    <row r="14" spans="1:12" x14ac:dyDescent="0.2">
      <c r="A14" s="3">
        <v>46027</v>
      </c>
      <c r="B14" s="2" t="s">
        <v>8</v>
      </c>
      <c r="C14" s="2" t="s">
        <v>11</v>
      </c>
      <c r="D14" s="2" t="s">
        <v>14</v>
      </c>
      <c r="E14" s="2">
        <v>170</v>
      </c>
      <c r="F14" s="2">
        <v>5100</v>
      </c>
      <c r="G14" s="2">
        <v>540</v>
      </c>
      <c r="H14" s="2" t="s">
        <v>18</v>
      </c>
      <c r="I14" s="2" t="str">
        <f>IF(Table1[[#This Row],[الإيرادات ]]&gt;5000,"أداء مرتفع","أداء متوسط")</f>
        <v>أداء مرتفع</v>
      </c>
      <c r="K14" t="str">
        <f>_xlfn.XLOOKUP(K13,Table1[[المدينة ]],Table1[[دار النشر ]]," ")</f>
        <v>الفكر</v>
      </c>
    </row>
    <row r="15" spans="1:12" x14ac:dyDescent="0.2">
      <c r="A15" s="3">
        <v>46027</v>
      </c>
      <c r="B15" s="2" t="s">
        <v>9</v>
      </c>
      <c r="C15" s="2" t="s">
        <v>12</v>
      </c>
      <c r="D15" s="2" t="s">
        <v>15</v>
      </c>
      <c r="E15" s="2">
        <v>120</v>
      </c>
      <c r="F15" s="2">
        <v>3600</v>
      </c>
      <c r="G15" s="2">
        <v>420</v>
      </c>
      <c r="H15" s="2" t="s">
        <v>19</v>
      </c>
      <c r="I15" s="2" t="str">
        <f>IF(Table1[[#This Row],[الإيرادات ]]&gt;5000,"أداء مرتفع","أداء متوسط")</f>
        <v>أداء متوسط</v>
      </c>
    </row>
    <row r="16" spans="1:12" x14ac:dyDescent="0.2">
      <c r="A16" s="3">
        <v>46027</v>
      </c>
      <c r="B16" s="2" t="s">
        <v>10</v>
      </c>
      <c r="C16" s="2" t="s">
        <v>13</v>
      </c>
      <c r="D16" s="2" t="s">
        <v>16</v>
      </c>
      <c r="E16" s="2">
        <v>210</v>
      </c>
      <c r="F16" s="2">
        <v>6300</v>
      </c>
      <c r="G16" s="2">
        <v>680</v>
      </c>
      <c r="H16" s="2" t="s">
        <v>20</v>
      </c>
      <c r="I16" s="2" t="str">
        <f>IF(Table1[[#This Row],[الإيرادات ]]&gt;5000,"أداء مرتفع","أداء متوسط")</f>
        <v>أداء مرتفع</v>
      </c>
    </row>
    <row r="17" spans="1:9" x14ac:dyDescent="0.2">
      <c r="A17" s="3">
        <v>46028</v>
      </c>
      <c r="B17" s="2" t="s">
        <v>8</v>
      </c>
      <c r="C17" s="2" t="s">
        <v>11</v>
      </c>
      <c r="D17" s="2" t="s">
        <v>14</v>
      </c>
      <c r="E17" s="2">
        <v>180</v>
      </c>
      <c r="F17" s="2">
        <v>5400</v>
      </c>
      <c r="G17" s="2">
        <v>600</v>
      </c>
      <c r="H17" s="2" t="s">
        <v>18</v>
      </c>
      <c r="I17" s="2" t="str">
        <f>IF(Table1[[#This Row],[الإيرادات ]]&gt;5000,"أداء مرتفع","أداء متوسط")</f>
        <v>أداء مرتفع</v>
      </c>
    </row>
    <row r="18" spans="1:9" x14ac:dyDescent="0.2">
      <c r="A18" s="3">
        <v>46028</v>
      </c>
      <c r="B18" s="2" t="s">
        <v>9</v>
      </c>
      <c r="C18" s="2" t="s">
        <v>12</v>
      </c>
      <c r="D18" s="2" t="s">
        <v>15</v>
      </c>
      <c r="E18" s="2">
        <v>140</v>
      </c>
      <c r="F18" s="2">
        <v>4200</v>
      </c>
      <c r="G18" s="2">
        <v>460</v>
      </c>
      <c r="H18" s="2" t="s">
        <v>19</v>
      </c>
      <c r="I18" s="2" t="str">
        <f>IF(Table1[[#This Row],[الإيرادات ]]&gt;5000,"أداء مرتفع","أداء متوسط")</f>
        <v>أداء متوسط</v>
      </c>
    </row>
    <row r="19" spans="1:9" x14ac:dyDescent="0.2">
      <c r="A19" s="3">
        <v>46028</v>
      </c>
      <c r="B19" s="2" t="s">
        <v>10</v>
      </c>
      <c r="C19" s="2" t="s">
        <v>13</v>
      </c>
      <c r="D19" s="2" t="s">
        <v>16</v>
      </c>
      <c r="E19" s="2">
        <v>220</v>
      </c>
      <c r="F19" s="2">
        <v>6600</v>
      </c>
      <c r="G19" s="2">
        <v>700</v>
      </c>
      <c r="H19" s="2" t="s">
        <v>20</v>
      </c>
      <c r="I19" s="2" t="str">
        <f>IF(Table1[[#This Row],[الإيرادات ]]&gt;5000,"أداء مرتفع","أداء متوسط")</f>
        <v>أداء مرتفع</v>
      </c>
    </row>
    <row r="20" spans="1:9" x14ac:dyDescent="0.2">
      <c r="A20" s="3">
        <v>46029</v>
      </c>
      <c r="B20" s="2" t="s">
        <v>8</v>
      </c>
      <c r="C20" s="2" t="s">
        <v>11</v>
      </c>
      <c r="D20" s="2" t="s">
        <v>14</v>
      </c>
      <c r="E20" s="2">
        <v>200</v>
      </c>
      <c r="F20" s="2">
        <v>6000</v>
      </c>
      <c r="G20" s="2">
        <v>650</v>
      </c>
      <c r="H20" s="2" t="s">
        <v>18</v>
      </c>
      <c r="I20" s="2" t="str">
        <f>IF(Table1[[#This Row],[الإيرادات ]]&gt;5000,"أداء مرتفع","أداء متوسط")</f>
        <v>أداء مرتفع</v>
      </c>
    </row>
    <row r="21" spans="1:9" x14ac:dyDescent="0.2">
      <c r="A21" s="3">
        <v>46029</v>
      </c>
      <c r="B21" s="2" t="s">
        <v>9</v>
      </c>
      <c r="C21" s="2" t="s">
        <v>12</v>
      </c>
      <c r="D21" s="2" t="s">
        <v>15</v>
      </c>
      <c r="E21" s="2">
        <v>150</v>
      </c>
      <c r="F21" s="2">
        <v>4500</v>
      </c>
      <c r="G21" s="2">
        <v>500</v>
      </c>
      <c r="H21" s="2" t="s">
        <v>19</v>
      </c>
      <c r="I21" s="2" t="str">
        <f>IF(Table1[[#This Row],[الإيرادات ]]&gt;5000,"أداء مرتفع","أداء متوسط")</f>
        <v>أداء متوسط</v>
      </c>
    </row>
    <row r="22" spans="1:9" x14ac:dyDescent="0.2">
      <c r="A22" s="3">
        <v>46029</v>
      </c>
      <c r="B22" s="2" t="s">
        <v>10</v>
      </c>
      <c r="C22" s="2" t="s">
        <v>13</v>
      </c>
      <c r="D22" s="2" t="s">
        <v>16</v>
      </c>
      <c r="E22" s="2">
        <v>250</v>
      </c>
      <c r="F22" s="2">
        <v>7500</v>
      </c>
      <c r="G22" s="2">
        <v>750</v>
      </c>
      <c r="H22" s="2" t="s">
        <v>20</v>
      </c>
      <c r="I22" s="2" t="str">
        <f>IF(Table1[[#This Row],[الإيرادات ]]&gt;5000,"أداء مرتفع","أداء متوسط")</f>
        <v>أداء مرتفع</v>
      </c>
    </row>
    <row r="23" spans="1:9" x14ac:dyDescent="0.2">
      <c r="A23" s="1"/>
    </row>
    <row r="24" spans="1:9" x14ac:dyDescent="0.2">
      <c r="A24" s="1"/>
      <c r="G24" t="s">
        <v>17</v>
      </c>
    </row>
    <row r="25" spans="1:9" x14ac:dyDescent="0.2">
      <c r="A25" s="1"/>
    </row>
    <row r="26" spans="1:9" x14ac:dyDescent="0.2">
      <c r="A26" s="1"/>
    </row>
    <row r="27" spans="1:9" x14ac:dyDescent="0.2">
      <c r="A27" s="1"/>
    </row>
    <row r="28" spans="1:9" x14ac:dyDescent="0.2">
      <c r="A28" s="1"/>
    </row>
    <row r="29" spans="1:9" x14ac:dyDescent="0.2">
      <c r="A29" s="1"/>
      <c r="D29" t="s">
        <v>17</v>
      </c>
    </row>
    <row r="30" spans="1:9" x14ac:dyDescent="0.2">
      <c r="A30" s="1"/>
    </row>
    <row r="31" spans="1:9" x14ac:dyDescent="0.2">
      <c r="A31" s="1"/>
    </row>
    <row r="32" spans="1:9" x14ac:dyDescent="0.2">
      <c r="A32" s="1"/>
    </row>
    <row r="33" spans="1:1" x14ac:dyDescent="0.2">
      <c r="A33" s="1"/>
    </row>
    <row r="34" spans="1:1" x14ac:dyDescent="0.2">
      <c r="A34" s="1"/>
    </row>
    <row r="35" spans="1:1" x14ac:dyDescent="0.2">
      <c r="A35" s="1"/>
    </row>
    <row r="36" spans="1:1" x14ac:dyDescent="0.2">
      <c r="A36" s="1"/>
    </row>
    <row r="37" spans="1:1" x14ac:dyDescent="0.2">
      <c r="A37" s="1"/>
    </row>
    <row r="38" spans="1:1" x14ac:dyDescent="0.2">
      <c r="A38" s="1"/>
    </row>
    <row r="39" spans="1:1" x14ac:dyDescent="0.2">
      <c r="A39" s="1"/>
    </row>
    <row r="40" spans="1:1" x14ac:dyDescent="0.2">
      <c r="A40" s="1"/>
    </row>
    <row r="41" spans="1:1" x14ac:dyDescent="0.2">
      <c r="A41" s="1"/>
    </row>
    <row r="42" spans="1:1" x14ac:dyDescent="0.2">
      <c r="A42" s="1"/>
    </row>
    <row r="43" spans="1:1" x14ac:dyDescent="0.2">
      <c r="A43" s="1"/>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A376-22C1-334B-BB0F-63D153FDB7EC}">
  <dimension ref="A3:P17"/>
  <sheetViews>
    <sheetView rightToLeft="1" workbookViewId="0">
      <selection activeCell="J32" sqref="J32"/>
    </sheetView>
  </sheetViews>
  <sheetFormatPr baseColWidth="10" defaultRowHeight="16" x14ac:dyDescent="0.2"/>
  <cols>
    <col min="1" max="1" width="13" bestFit="1" customWidth="1"/>
    <col min="2" max="2" width="13.1640625" bestFit="1" customWidth="1"/>
    <col min="4" max="4" width="13" bestFit="1" customWidth="1"/>
    <col min="5" max="5" width="13.1640625" bestFit="1" customWidth="1"/>
    <col min="6" max="6" width="20" bestFit="1" customWidth="1"/>
    <col min="9" max="9" width="13" bestFit="1" customWidth="1"/>
    <col min="10" max="10" width="14.33203125" bestFit="1" customWidth="1"/>
    <col min="12" max="12" width="13" bestFit="1" customWidth="1"/>
    <col min="13" max="13" width="20" bestFit="1" customWidth="1"/>
    <col min="15" max="15" width="13" bestFit="1" customWidth="1"/>
    <col min="16" max="16" width="14.33203125" bestFit="1" customWidth="1"/>
  </cols>
  <sheetData>
    <row r="3" spans="1:16" x14ac:dyDescent="0.2">
      <c r="A3" s="5" t="s">
        <v>26</v>
      </c>
      <c r="B3" t="s">
        <v>25</v>
      </c>
      <c r="E3" s="5" t="s">
        <v>26</v>
      </c>
      <c r="F3" t="s">
        <v>28</v>
      </c>
      <c r="I3" s="5" t="s">
        <v>26</v>
      </c>
      <c r="J3" t="s">
        <v>29</v>
      </c>
      <c r="L3" s="5" t="s">
        <v>26</v>
      </c>
      <c r="M3" t="s">
        <v>28</v>
      </c>
    </row>
    <row r="4" spans="1:16" x14ac:dyDescent="0.2">
      <c r="A4" s="10" t="s">
        <v>13</v>
      </c>
      <c r="B4">
        <v>41100</v>
      </c>
      <c r="E4" s="10" t="s">
        <v>14</v>
      </c>
      <c r="F4">
        <v>1100</v>
      </c>
      <c r="I4" s="10" t="s">
        <v>20</v>
      </c>
      <c r="J4">
        <v>4400</v>
      </c>
      <c r="L4" s="10" t="s">
        <v>8</v>
      </c>
      <c r="M4">
        <v>1100</v>
      </c>
      <c r="O4" s="5" t="s">
        <v>26</v>
      </c>
      <c r="P4" t="s">
        <v>29</v>
      </c>
    </row>
    <row r="5" spans="1:16" x14ac:dyDescent="0.2">
      <c r="A5" s="10" t="s">
        <v>12</v>
      </c>
      <c r="B5">
        <v>23700</v>
      </c>
      <c r="E5" s="10" t="s">
        <v>16</v>
      </c>
      <c r="F5">
        <v>1370</v>
      </c>
      <c r="I5" s="10" t="s">
        <v>18</v>
      </c>
      <c r="J5">
        <v>3710</v>
      </c>
      <c r="L5" s="10" t="s">
        <v>9</v>
      </c>
      <c r="M5">
        <v>790</v>
      </c>
      <c r="O5" s="11">
        <v>46023</v>
      </c>
      <c r="P5">
        <v>1270</v>
      </c>
    </row>
    <row r="6" spans="1:16" x14ac:dyDescent="0.2">
      <c r="A6" s="10" t="s">
        <v>11</v>
      </c>
      <c r="B6">
        <v>33000</v>
      </c>
      <c r="E6" s="10" t="s">
        <v>15</v>
      </c>
      <c r="F6">
        <v>790</v>
      </c>
      <c r="I6" s="10" t="s">
        <v>19</v>
      </c>
      <c r="J6">
        <v>2830</v>
      </c>
      <c r="L6" s="10" t="s">
        <v>10</v>
      </c>
      <c r="M6">
        <v>1370</v>
      </c>
      <c r="O6" s="11">
        <v>46024</v>
      </c>
      <c r="P6">
        <v>1380</v>
      </c>
    </row>
    <row r="7" spans="1:16" x14ac:dyDescent="0.2">
      <c r="A7" s="6" t="s">
        <v>27</v>
      </c>
      <c r="B7">
        <v>97800</v>
      </c>
      <c r="E7" s="6" t="s">
        <v>27</v>
      </c>
      <c r="F7">
        <v>3260</v>
      </c>
      <c r="I7" s="6" t="s">
        <v>27</v>
      </c>
      <c r="J7">
        <v>10940</v>
      </c>
      <c r="L7" s="6" t="s">
        <v>27</v>
      </c>
      <c r="M7">
        <v>3260</v>
      </c>
      <c r="O7" s="11">
        <v>46025</v>
      </c>
      <c r="P7">
        <v>1520</v>
      </c>
    </row>
    <row r="8" spans="1:16" x14ac:dyDescent="0.2">
      <c r="O8" s="11">
        <v>46026</v>
      </c>
      <c r="P8">
        <v>1470</v>
      </c>
    </row>
    <row r="9" spans="1:16" x14ac:dyDescent="0.2">
      <c r="O9" s="11">
        <v>46027</v>
      </c>
      <c r="P9">
        <v>1640</v>
      </c>
    </row>
    <row r="10" spans="1:16" x14ac:dyDescent="0.2">
      <c r="O10" s="11">
        <v>46028</v>
      </c>
      <c r="P10">
        <v>1760</v>
      </c>
    </row>
    <row r="11" spans="1:16" x14ac:dyDescent="0.2">
      <c r="O11" s="11">
        <v>46029</v>
      </c>
      <c r="P11">
        <v>1900</v>
      </c>
    </row>
    <row r="12" spans="1:16" x14ac:dyDescent="0.2">
      <c r="O12" s="7" t="s">
        <v>27</v>
      </c>
      <c r="P12">
        <v>10940</v>
      </c>
    </row>
    <row r="17" spans="13:13" x14ac:dyDescent="0.2">
      <c r="M17" t="s">
        <v>17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D8B3-EC10-A441-8523-55BC7A46DA9E}">
  <dimension ref="B4:L10"/>
  <sheetViews>
    <sheetView showGridLines="0" showRowColHeaders="0" rightToLeft="1" tabSelected="1" zoomScale="114" workbookViewId="0">
      <selection activeCell="J27" sqref="J27"/>
    </sheetView>
  </sheetViews>
  <sheetFormatPr baseColWidth="10" defaultRowHeight="16" x14ac:dyDescent="0.2"/>
  <sheetData>
    <row r="4" spans="2:12" x14ac:dyDescent="0.2">
      <c r="B4" s="8" t="s">
        <v>30</v>
      </c>
      <c r="C4" s="8"/>
      <c r="E4" s="8" t="s">
        <v>31</v>
      </c>
      <c r="F4" s="8"/>
      <c r="H4" s="8" t="s">
        <v>32</v>
      </c>
      <c r="I4" s="8"/>
      <c r="K4" s="8" t="s">
        <v>33</v>
      </c>
      <c r="L4" s="8"/>
    </row>
    <row r="5" spans="2:12" x14ac:dyDescent="0.2">
      <c r="B5" s="9">
        <f>SUM('Raw Data'!F2:F22)</f>
        <v>97800</v>
      </c>
      <c r="C5" s="9"/>
      <c r="E5" s="9">
        <f>SUM('Raw Data'!E2:E22)</f>
        <v>3260</v>
      </c>
      <c r="F5" s="9"/>
      <c r="H5" s="9">
        <f>SUM('Raw Data'!G2:G22)</f>
        <v>10940</v>
      </c>
      <c r="I5" s="9"/>
      <c r="K5" s="9">
        <v>3</v>
      </c>
      <c r="L5" s="9"/>
    </row>
    <row r="6" spans="2:12" x14ac:dyDescent="0.2">
      <c r="B6" s="9"/>
      <c r="C6" s="9"/>
      <c r="E6" s="9"/>
      <c r="F6" s="9"/>
      <c r="H6" s="9"/>
      <c r="I6" s="9"/>
      <c r="K6" s="9"/>
      <c r="L6" s="9"/>
    </row>
    <row r="10" spans="2:12" x14ac:dyDescent="0.2">
      <c r="B10" t="s">
        <v>17</v>
      </c>
    </row>
  </sheetData>
  <mergeCells count="8">
    <mergeCell ref="B4:C4"/>
    <mergeCell ref="B5:C6"/>
    <mergeCell ref="K4:L4"/>
    <mergeCell ref="K5:L6"/>
    <mergeCell ref="E4:F4"/>
    <mergeCell ref="E5:F6"/>
    <mergeCell ref="H4:I4"/>
    <mergeCell ref="H5: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 SAMI ABID ALYOUBI</dc:creator>
  <cp:lastModifiedBy>ROLAN SAMI ABID ALYOUBI</cp:lastModifiedBy>
  <dcterms:created xsi:type="dcterms:W3CDTF">2026-09-15T14:42:15Z</dcterms:created>
  <dcterms:modified xsi:type="dcterms:W3CDTF">2026-09-26T20:29:02Z</dcterms:modified>
</cp:coreProperties>
</file>